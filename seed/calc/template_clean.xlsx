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Класс кредитоспособности" sheetId="1" state="visible" r:id="rId2"/>
  </sheets>
  <externalReferences>
    <externalReference r:id="rId1"/>
  </externalReferences>
  <definedNames>
    <definedName name="Industry">'[1]Вход.Данные'!$B$173:$B$192</definedName>
    <definedName name="Lease">'[1]2.1'!$Y$52</definedName>
    <definedName name="Torg">'[1]2.1'!$Y$49</definedName>
  </definedNames>
  <calcPr/>
</workbook>
</file>

<file path=xl/sharedStrings.xml><?xml version="1.0" encoding="utf-8"?>
<sst xmlns="http://schemas.openxmlformats.org/spreadsheetml/2006/main" count="58" uniqueCount="58">
  <si>
    <t xml:space="preserve">Тип участника сделки</t>
  </si>
  <si>
    <t xml:space="preserve">Наименование участника сделки</t>
  </si>
  <si>
    <t/>
  </si>
  <si>
    <t xml:space="preserve">Категория отрасли участника сделки</t>
  </si>
  <si>
    <t xml:space="preserve">Отчет о прибылях и убытках по стандарту отчетности РСБУ - показатели на конец квартала</t>
  </si>
  <si>
    <t xml:space="preserve">Наименование показателя</t>
  </si>
  <si>
    <t xml:space="preserve">Код строки</t>
  </si>
  <si>
    <t>Ктекликвидности</t>
  </si>
  <si>
    <t xml:space="preserve">д.б более 1</t>
  </si>
  <si>
    <t xml:space="preserve">14.1.10. Хотя бы в одном из последних четырех отчетных кварталов значение
Коэффициента текущей ликвидности (К3) должно быть больше 1,0.
К3 рассчитывается на основе бухгалтерского баланса предприятия по
формуле:</t>
  </si>
  <si>
    <t xml:space="preserve">Выручка (нетто) от реализации товаров, продукции, работ, услуг (без НДС)</t>
  </si>
  <si>
    <t xml:space="preserve">для с/х</t>
  </si>
  <si>
    <t>рент.деят.LTM</t>
  </si>
  <si>
    <t xml:space="preserve">д.б. положительным</t>
  </si>
  <si>
    <t xml:space="preserve">14.1.11. Положительная рентабельность деятельности Лизингополучателя:
а) для предприятий, деятельность которых не подвержена сезонным
колебаниям либо не носит цикличный характер – за два последних отчетных квартала (каждый период анализируется отдельно, без учета нарастающих итогов);
б) для предприятий, деятельность которых подвержена сезонным
колебаниям либо носит цикличный характер - за последние 4 квартала
(LTM), нарастающим итогом на последнюю отчетную дату (сезонные
отрасли и виды деятельности определяются в соответствии с перечнем,
определенным правительством Российской федерации в рамках
постановления правительства №382/15/.)</t>
  </si>
  <si>
    <t xml:space="preserve">Прибыль (убыток) от реализации </t>
  </si>
  <si>
    <t xml:space="preserve">для прочих</t>
  </si>
  <si>
    <t>рент.деят.кв.</t>
  </si>
  <si>
    <t xml:space="preserve">Чистая прибыль  (убыток) отчетного года                             </t>
  </si>
  <si>
    <t xml:space="preserve">Наличие нераспределенной прибыли за два последних отчетных квартала;</t>
  </si>
  <si>
    <t xml:space="preserve">14.1.8. Наличие нераспределенной прибыли за два последних отчетных
квартала;</t>
  </si>
  <si>
    <t xml:space="preserve">   </t>
  </si>
  <si>
    <t xml:space="preserve">Бухгалтерский баланс по стандарту отчетности РСБУ - показатели на конец квартала</t>
  </si>
  <si>
    <t>АКТИВ</t>
  </si>
  <si>
    <t xml:space="preserve">II. ОБОРОТНЫЕ АКТИВЫ</t>
  </si>
  <si>
    <t xml:space="preserve">Дебиторская задолженность (платежи по которой ожидаются в течение 12 месяцев после отчетной даты)</t>
  </si>
  <si>
    <t xml:space="preserve">Краткосрочные финансовые вложения </t>
  </si>
  <si>
    <t xml:space="preserve">Денежные средства</t>
  </si>
  <si>
    <t xml:space="preserve">Итого по разделу II</t>
  </si>
  <si>
    <t>ПАССИВ</t>
  </si>
  <si>
    <t xml:space="preserve">III. КАПИТАЛ И РЕЗЕРВЫ</t>
  </si>
  <si>
    <t xml:space="preserve">Итого по разделу III</t>
  </si>
  <si>
    <t xml:space="preserve">14.1.7. Положительный показатель собственного капитала
Лизингополучателя на последнюю отчетную дату;</t>
  </si>
  <si>
    <t xml:space="preserve">V. КРАТКОСРОЧНЫЕ ОБЯЗАТЕЛЬСТВА</t>
  </si>
  <si>
    <t xml:space="preserve">Доходы будущих периодов </t>
  </si>
  <si>
    <t xml:space="preserve">Резервы предстоящих расходов и платежей </t>
  </si>
  <si>
    <t xml:space="preserve">Итого по разделу V</t>
  </si>
  <si>
    <t xml:space="preserve">БАЛАНС (сумма строк 490+590+690)</t>
  </si>
  <si>
    <t xml:space="preserve">Дополнительные расшифровки</t>
  </si>
  <si>
    <t xml:space="preserve">Безнадежная краткосрочная дебиторская задолженность</t>
  </si>
  <si>
    <t xml:space="preserve">Безнадежная долгосрочная дебиторская задолженность</t>
  </si>
  <si>
    <t xml:space="preserve">Краткосрочные финансовые вложения в гос. цен. бумаги, цен. бумаги Сбербанка России, средства на депозитах</t>
  </si>
  <si>
    <t xml:space="preserve">Финансовые вложения в неликвидные ценные бумаги и неплатежеспособные предприятия</t>
  </si>
  <si>
    <t xml:space="preserve">Неликвидные и труднореализуемые запасы</t>
  </si>
  <si>
    <t xml:space="preserve">Расчет класса кредитоспособности</t>
  </si>
  <si>
    <t xml:space="preserve">Значение/категория коэффициента</t>
  </si>
  <si>
    <t>Коэфф.</t>
  </si>
  <si>
    <t>Балл</t>
  </si>
  <si>
    <t xml:space="preserve">К1 (абсолютная ликвидность)</t>
  </si>
  <si>
    <t xml:space="preserve">К2 (промежуточная ликвидность)</t>
  </si>
  <si>
    <t xml:space="preserve">К3 (текущая ликвидность)</t>
  </si>
  <si>
    <t xml:space="preserve">К4 (соотношение собственных и заемных средств)</t>
  </si>
  <si>
    <t xml:space="preserve">К5 (рентабельность продукции)</t>
  </si>
  <si>
    <t xml:space="preserve">К6 (рентабельность деятельности)</t>
  </si>
  <si>
    <t xml:space="preserve">Сумма балов/Класс кредитоспособности</t>
  </si>
  <si>
    <t xml:space="preserve">14.1.6. отсутствие принадлежности Лизингополучателя только к 3 классу кредитоспособности, установленному в соответствии с Методикой определения кредитоспособности заемщика (Приложение N4 к Регламенту N 285-6-р /1/) за последние четыре отчетных квартала.</t>
  </si>
  <si>
    <t xml:space="preserve">Проверка для первого класса</t>
  </si>
  <si>
    <t xml:space="preserve">Проверка для второго класса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</si>
</sst>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0" formatCode="_(&quot;$&quot;* #,##0.00_);_(&quot;$&quot;* \(#,##0.00\);_(&quot;$&quot;* &quot;-&quot;??_);_(@_)"/>
    <numFmt numFmtId="161" formatCode="_(&quot;$&quot;* #,##0_);_(&quot;$&quot;* \(#,##0\);_(&quot;$&quot;* &quot;-&quot;_);_(@_)"/>
    <numFmt numFmtId="162" formatCode="_(* #,##0.00_);_(* \(#,##0.00\);_(* &quot;-&quot;??_);_(@_)"/>
    <numFmt numFmtId="163" formatCode="_(* #,##0_);_(* \(#,##0\);_(* &quot;-&quot;_);_(@_)"/>
    <numFmt numFmtId="164" formatCode="0.0%"/>
    <numFmt numFmtId="165" formatCode="dd/mm/yy;@"/>
    <numFmt numFmtId="166" formatCode="0.0"/>
  </numFmts>
  <fonts count="28">
    <font>
      <sz val="10.000000"/>
      <color theme="1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0.000000"/>
      <name val="Times New Roman"/>
    </font>
    <font>
      <sz val="10.000000"/>
      <name val="Arial Cy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0.000000"/>
      <name val="Arial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sz val="12.000000"/>
      <color indexed="65"/>
      <name val="Arial"/>
    </font>
    <font>
      <sz val="12.000000"/>
      <name val="Arial"/>
    </font>
    <font>
      <sz val="10.000000"/>
      <color indexed="55"/>
      <name val="Arial"/>
    </font>
    <font>
      <i/>
      <sz val="10.000000"/>
      <name val="Arial"/>
    </font>
    <font>
      <sz val="10.000000"/>
      <color indexed="65"/>
      <name val="Arial"/>
    </font>
    <font>
      <b/>
      <sz val="10.000000"/>
      <name val="Arial"/>
    </font>
    <font>
      <b/>
      <sz val="10.000000"/>
      <color indexed="2"/>
      <name val="Arial"/>
    </font>
  </fonts>
  <fills count="39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65"/>
      </patternFill>
    </fill>
    <fill>
      <patternFill patternType="solid">
        <fgColor indexed="60"/>
      </patternFill>
    </fill>
    <fill>
      <patternFill patternType="solid">
        <fgColor theme="6" tint="0.79998199999999997"/>
      </patternFill>
    </fill>
    <fill>
      <patternFill patternType="solid">
        <fgColor theme="0" tint="0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5"/>
      </left>
      <right style="thin">
        <color indexed="65"/>
      </right>
      <top style="thin">
        <color auto="1"/>
      </top>
      <bottom style="thin">
        <color auto="1"/>
      </bottom>
      <diagonal style="none"/>
    </border>
    <border>
      <left style="thin">
        <color indexed="65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50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5" fillId="26" borderId="1" numFmtId="0" applyNumberFormat="1" applyFont="1" applyFill="1" applyBorder="1"/>
    <xf fontId="6" fillId="27" borderId="2" numFmtId="0" applyNumberFormat="1" applyFont="1" applyFill="1" applyBorder="1"/>
    <xf fontId="7" fillId="27" borderId="1" numFmtId="0" applyNumberFormat="1" applyFont="1" applyFill="1" applyBorder="1"/>
    <xf fontId="0" fillId="0" borderId="0" numFmtId="160" applyNumberFormat="1" applyFont="1" applyFill="1" applyBorder="1"/>
    <xf fontId="0" fillId="0" borderId="0" numFmtId="161" applyNumberFormat="1" applyFont="1" applyFill="1" applyBorder="1"/>
    <xf fontId="8" fillId="0" borderId="3" numFmtId="0" applyNumberFormat="1" applyFont="1" applyFill="1" applyBorder="1"/>
    <xf fontId="9" fillId="0" borderId="4" numFmtId="0" applyNumberFormat="1" applyFont="1" applyFill="1" applyBorder="1"/>
    <xf fontId="10" fillId="0" borderId="5" numFmtId="0" applyNumberFormat="1" applyFont="1" applyFill="1" applyBorder="1"/>
    <xf fontId="10" fillId="0" borderId="0" numFmtId="0" applyNumberFormat="1" applyFont="1" applyFill="1" applyBorder="1"/>
    <xf fontId="11" fillId="0" borderId="6" numFmtId="0" applyNumberFormat="1" applyFont="1" applyFill="1" applyBorder="1"/>
    <xf fontId="12" fillId="28" borderId="7" numFmtId="0" applyNumberFormat="1" applyFont="1" applyFill="1" applyBorder="1"/>
    <xf fontId="13" fillId="0" borderId="0" numFmtId="0" applyNumberFormat="1" applyFont="1" applyFill="1" applyBorder="1"/>
    <xf fontId="14" fillId="29" borderId="0" numFmtId="0" applyNumberFormat="1" applyFont="1" applyFill="1" applyBorder="1"/>
    <xf fontId="4" fillId="0" borderId="0" numFmtId="0" applyNumberFormat="1" applyFont="1" applyFill="1" applyBorder="1"/>
    <xf fontId="15" fillId="30" borderId="0" numFmtId="0" applyNumberFormat="1" applyFont="1" applyFill="1" applyBorder="1"/>
    <xf fontId="16" fillId="0" borderId="0" numFmtId="0" applyNumberFormat="1" applyFont="1" applyFill="1" applyBorder="1"/>
    <xf fontId="17" fillId="31" borderId="8" numFmtId="0" applyNumberFormat="1" applyFont="1" applyFill="1" applyBorder="1"/>
    <xf fontId="0" fillId="0" borderId="0" numFmtId="9" applyNumberFormat="1" applyFont="1" applyFill="1" applyBorder="1"/>
    <xf fontId="18" fillId="0" borderId="9" numFmtId="0" applyNumberFormat="1" applyFont="1" applyFill="1" applyBorder="1"/>
    <xf fontId="19" fillId="0" borderId="0" numFmtId="0" applyNumberFormat="1" applyFont="1" applyFill="1" applyBorder="1"/>
    <xf fontId="0" fillId="0" borderId="0" numFmtId="162" applyNumberFormat="1" applyFont="1" applyFill="1" applyBorder="1"/>
    <xf fontId="0" fillId="0" borderId="0" numFmtId="163" applyNumberFormat="1" applyFont="1" applyFill="1" applyBorder="1"/>
    <xf fontId="20" fillId="32" borderId="0" numFmtId="0" applyNumberFormat="1" applyFont="1" applyFill="1" applyBorder="1"/>
  </cellStyleXfs>
  <cellXfs count="82">
    <xf fontId="0" fillId="0" borderId="0" numFmtId="0" xfId="0"/>
    <xf fontId="21" fillId="33" borderId="0" numFmtId="0" xfId="0" applyFont="1" applyFill="1" applyProtection="1"/>
    <xf fontId="22" fillId="33" borderId="0" numFmtId="0" xfId="20" applyFont="1" applyFill="1" applyProtection="1"/>
    <xf fontId="22" fillId="34" borderId="10" numFmtId="2" xfId="0" applyNumberFormat="1" applyFont="1" applyFill="1" applyBorder="1" applyAlignment="1" applyProtection="1">
      <alignment horizontal="center" wrapText="1"/>
      <protection locked="0"/>
    </xf>
    <xf fontId="22" fillId="34" borderId="11" numFmtId="2" xfId="0" applyNumberFormat="1" applyFont="1" applyFill="1" applyBorder="1" applyAlignment="1" applyProtection="1">
      <alignment horizontal="center" wrapText="1"/>
      <protection locked="0"/>
    </xf>
    <xf fontId="22" fillId="34" borderId="12" numFmtId="2" xfId="0" applyNumberFormat="1" applyFont="1" applyFill="1" applyBorder="1" applyAlignment="1" applyProtection="1">
      <alignment horizontal="center" wrapText="1"/>
      <protection locked="0"/>
    </xf>
    <xf fontId="21" fillId="33" borderId="0" numFmtId="2" xfId="0" applyNumberFormat="1" applyFont="1" applyFill="1" applyProtection="1"/>
    <xf fontId="17" fillId="33" borderId="0" numFmtId="0" xfId="0" applyFont="1" applyFill="1" applyProtection="1"/>
    <xf fontId="21" fillId="33" borderId="0" numFmtId="49" xfId="0" applyNumberFormat="1" applyFont="1" applyFill="1" applyProtection="1"/>
    <xf fontId="23" fillId="33" borderId="0" numFmtId="0" xfId="0" applyFont="1" applyFill="1" applyProtection="1"/>
    <xf fontId="17" fillId="35" borderId="0" numFmtId="0" xfId="0" applyFont="1" applyFill="1" applyProtection="1"/>
    <xf fontId="24" fillId="35" borderId="0" numFmtId="0" xfId="0" applyFont="1" applyFill="1" applyAlignment="1" applyProtection="1">
      <alignment horizontal="left" wrapText="1"/>
    </xf>
    <xf fontId="0" fillId="0" borderId="0" numFmtId="14" xfId="0" applyNumberFormat="1"/>
    <xf fontId="25" fillId="36" borderId="10" numFmtId="0" xfId="0" applyFont="1" applyFill="1" applyBorder="1" applyProtection="1"/>
    <xf fontId="25" fillId="36" borderId="13" numFmtId="0" xfId="0" applyFont="1" applyFill="1" applyBorder="1" applyAlignment="1" applyProtection="1">
      <alignment horizontal="center"/>
    </xf>
    <xf fontId="25" fillId="36" borderId="14" numFmtId="14" xfId="0" applyNumberFormat="1" applyFont="1" applyFill="1" applyBorder="1" applyAlignment="1" applyProtection="1">
      <alignment horizontal="center"/>
    </xf>
    <xf fontId="25" fillId="36" borderId="12" numFmtId="14" xfId="0" applyNumberFormat="1" applyFont="1" applyFill="1" applyBorder="1" applyAlignment="1" applyProtection="1">
      <alignment horizontal="center"/>
    </xf>
    <xf fontId="25" fillId="36" borderId="10" numFmtId="14" xfId="0" applyNumberFormat="1" applyFont="1" applyFill="1" applyBorder="1" applyAlignment="1" applyProtection="1">
      <alignment horizontal="center"/>
    </xf>
    <xf fontId="0" fillId="0" borderId="0" numFmtId="0" xfId="0" applyAlignment="1">
      <alignment wrapText="1"/>
    </xf>
    <xf fontId="0" fillId="37" borderId="0" numFmtId="2" xfId="0" applyNumberFormat="1" applyFill="1"/>
    <xf fontId="17" fillId="0" borderId="0" numFmtId="0" xfId="0" applyFont="1" applyAlignment="1">
      <alignment wrapText="1"/>
    </xf>
    <xf fontId="17" fillId="0" borderId="15" numFmtId="0" xfId="0" applyFont="1" applyBorder="1" applyAlignment="1" applyProtection="1">
      <alignment horizontal="left" vertical="center" wrapText="1"/>
    </xf>
    <xf fontId="17" fillId="0" borderId="15" numFmtId="0" xfId="41" applyFont="1" applyBorder="1" applyAlignment="1" applyProtection="1">
      <alignment horizontal="center" vertical="center"/>
    </xf>
    <xf fontId="17" fillId="0" borderId="16" numFmtId="3" xfId="41" applyNumberFormat="1" applyFont="1" applyBorder="1" applyAlignment="1" applyProtection="1">
      <alignment horizontal="center" vertical="center"/>
    </xf>
    <xf fontId="17" fillId="38" borderId="10" numFmtId="3" xfId="20" applyNumberFormat="1" applyFont="1" applyFill="1" applyBorder="1" applyAlignment="1" applyProtection="1">
      <alignment horizontal="center" vertical="center"/>
      <protection locked="0"/>
    </xf>
    <xf fontId="0" fillId="0" borderId="12" numFmtId="0" xfId="0" applyBorder="1" applyAlignment="1">
      <alignment horizontal="center" vertical="center"/>
    </xf>
    <xf fontId="0" fillId="0" borderId="0" numFmtId="0" xfId="0" applyAlignment="1">
      <alignment horizontal="right"/>
    </xf>
    <xf fontId="17" fillId="0" borderId="0" numFmtId="0" xfId="0" applyFont="1"/>
    <xf fontId="17" fillId="0" borderId="0" numFmtId="0" xfId="0" applyFont="1" applyAlignment="1">
      <alignment horizontal="left" wrapText="1"/>
    </xf>
    <xf fontId="17" fillId="0" borderId="17" numFmtId="0" xfId="0" applyFont="1" applyBorder="1" applyAlignment="1" applyProtection="1">
      <alignment horizontal="left" vertical="center" wrapText="1"/>
    </xf>
    <xf fontId="17" fillId="0" borderId="17" numFmtId="0" xfId="41" applyFont="1" applyBorder="1" applyAlignment="1" applyProtection="1">
      <alignment horizontal="center" vertical="center"/>
    </xf>
    <xf fontId="17" fillId="0" borderId="10" numFmtId="3" xfId="41" applyNumberFormat="1" applyFont="1" applyBorder="1" applyAlignment="1" applyProtection="1">
      <alignment horizontal="center" vertical="center"/>
    </xf>
    <xf fontId="17" fillId="0" borderId="10" numFmtId="3" xfId="20" applyNumberFormat="1" applyFont="1" applyBorder="1" applyAlignment="1" applyProtection="1">
      <alignment horizontal="center" vertical="center"/>
      <protection locked="0"/>
    </xf>
    <xf fontId="0" fillId="0" borderId="0" numFmtId="3" xfId="0" applyNumberFormat="1"/>
    <xf fontId="17" fillId="0" borderId="0" numFmtId="3" xfId="0" applyNumberFormat="1" applyFont="1"/>
    <xf fontId="0" fillId="37" borderId="0" numFmtId="4" xfId="0" applyNumberFormat="1" applyFill="1"/>
    <xf fontId="23" fillId="35" borderId="0" numFmtId="0" xfId="0" applyFont="1" applyFill="1" applyProtection="1"/>
    <xf fontId="0" fillId="0" borderId="0" numFmtId="10" xfId="45" applyNumberFormat="1"/>
    <xf fontId="0" fillId="0" borderId="0" numFmtId="164" xfId="45" applyNumberFormat="1"/>
    <xf fontId="21" fillId="35" borderId="0" numFmtId="49" xfId="0" applyNumberFormat="1" applyFont="1" applyFill="1" applyProtection="1"/>
    <xf fontId="22" fillId="35" borderId="0" numFmtId="0" xfId="20" applyFont="1" applyFill="1" applyProtection="1"/>
    <xf fontId="25" fillId="36" borderId="14" numFmtId="165" xfId="0" applyNumberFormat="1" applyFont="1" applyFill="1" applyBorder="1" applyAlignment="1" applyProtection="1">
      <alignment horizontal="center"/>
    </xf>
    <xf fontId="25" fillId="36" borderId="12" numFmtId="165" xfId="0" applyNumberFormat="1" applyFont="1" applyFill="1" applyBorder="1" applyAlignment="1" applyProtection="1">
      <alignment horizontal="center"/>
    </xf>
    <xf fontId="26" fillId="35" borderId="10" numFmtId="166" xfId="41" applyNumberFormat="1" applyFont="1" applyFill="1" applyBorder="1" applyAlignment="1" applyProtection="1">
      <alignment horizontal="left" vertical="center" wrapText="1"/>
    </xf>
    <xf fontId="26" fillId="35" borderId="11" numFmtId="0" xfId="41" applyFont="1" applyFill="1" applyBorder="1" applyAlignment="1" applyProtection="1">
      <alignment horizontal="center" vertical="center"/>
    </xf>
    <xf fontId="26" fillId="35" borderId="11" numFmtId="3" xfId="41" applyNumberFormat="1" applyFont="1" applyFill="1" applyBorder="1" applyAlignment="1" applyProtection="1">
      <alignment horizontal="center" vertical="center"/>
    </xf>
    <xf fontId="17" fillId="35" borderId="11" numFmtId="3" xfId="0" applyNumberFormat="1" applyFont="1" applyFill="1" applyBorder="1" applyAlignment="1" applyProtection="1">
      <alignment horizontal="center"/>
    </xf>
    <xf fontId="17" fillId="35" borderId="12" numFmtId="3" xfId="0" applyNumberFormat="1" applyFont="1" applyFill="1" applyBorder="1" applyAlignment="1" applyProtection="1">
      <alignment horizontal="center"/>
    </xf>
    <xf fontId="17" fillId="0" borderId="10" numFmtId="0" xfId="21" applyFont="1" applyBorder="1" applyAlignment="1" applyProtection="1">
      <alignment horizontal="left" vertical="center" wrapText="1"/>
    </xf>
    <xf fontId="17" fillId="0" borderId="10" numFmtId="0" xfId="41" applyFont="1" applyBorder="1" applyAlignment="1" applyProtection="1">
      <alignment horizontal="center" vertical="center"/>
    </xf>
    <xf fontId="17" fillId="38" borderId="12" numFmtId="3" xfId="20" applyNumberFormat="1" applyFont="1" applyFill="1" applyBorder="1" applyAlignment="1" applyProtection="1">
      <alignment horizontal="center" vertical="center"/>
      <protection locked="0"/>
    </xf>
    <xf fontId="26" fillId="0" borderId="17" numFmtId="166" xfId="41" applyNumberFormat="1" applyFont="1" applyBorder="1" applyAlignment="1" applyProtection="1">
      <alignment horizontal="left" vertical="center" wrapText="1"/>
    </xf>
    <xf fontId="26" fillId="0" borderId="10" numFmtId="0" xfId="41" applyFont="1" applyBorder="1" applyAlignment="1" applyProtection="1">
      <alignment horizontal="center" vertical="center"/>
    </xf>
    <xf fontId="0" fillId="35" borderId="0" numFmtId="0" xfId="0" applyFill="1" applyProtection="1"/>
    <xf fontId="25" fillId="36" borderId="10" numFmtId="165" xfId="0" applyNumberFormat="1" applyFont="1" applyFill="1" applyBorder="1" applyAlignment="1" applyProtection="1">
      <alignment horizontal="center"/>
    </xf>
    <xf fontId="26" fillId="35" borderId="16" numFmtId="166" xfId="41" applyNumberFormat="1" applyFont="1" applyFill="1" applyBorder="1" applyAlignment="1" applyProtection="1">
      <alignment horizontal="left" vertical="center" wrapText="1"/>
    </xf>
    <xf fontId="26" fillId="35" borderId="18" numFmtId="0" xfId="41" applyFont="1" applyFill="1" applyBorder="1" applyAlignment="1" applyProtection="1">
      <alignment horizontal="center" vertical="center"/>
    </xf>
    <xf fontId="17" fillId="35" borderId="11" numFmtId="0" xfId="41" applyFont="1" applyFill="1" applyBorder="1" applyAlignment="1" applyProtection="1">
      <alignment horizontal="center" vertical="center"/>
    </xf>
    <xf fontId="17" fillId="35" borderId="11" numFmtId="3" xfId="41" applyNumberFormat="1" applyFont="1" applyFill="1" applyBorder="1" applyAlignment="1" applyProtection="1">
      <alignment horizontal="center" vertical="center"/>
    </xf>
    <xf fontId="17" fillId="35" borderId="12" numFmtId="3" xfId="41" applyNumberFormat="1" applyFont="1" applyFill="1" applyBorder="1" applyAlignment="1" applyProtection="1">
      <alignment horizontal="center" vertical="center"/>
    </xf>
    <xf fontId="26" fillId="0" borderId="10" numFmtId="166" xfId="41" applyNumberFormat="1" applyFont="1" applyBorder="1" applyAlignment="1" applyProtection="1">
      <alignment horizontal="left" vertical="center" wrapText="1"/>
    </xf>
    <xf fontId="26" fillId="0" borderId="11" numFmtId="0" xfId="41" applyFont="1" applyBorder="1" applyAlignment="1" applyProtection="1">
      <alignment horizontal="center" vertical="center"/>
    </xf>
    <xf fontId="17" fillId="0" borderId="11" numFmtId="3" xfId="41" applyNumberFormat="1" applyFont="1" applyBorder="1" applyAlignment="1" applyProtection="1">
      <alignment horizontal="center" vertical="center"/>
    </xf>
    <xf fontId="17" fillId="38" borderId="11" numFmtId="3" xfId="20" applyNumberFormat="1" applyFont="1" applyFill="1" applyBorder="1" applyAlignment="1" applyProtection="1">
      <alignment horizontal="center" vertical="center"/>
    </xf>
    <xf fontId="26" fillId="0" borderId="17" numFmtId="0" xfId="41" applyFont="1" applyBorder="1" applyAlignment="1" applyProtection="1">
      <alignment horizontal="center" vertical="center"/>
    </xf>
    <xf fontId="25" fillId="36" borderId="14" numFmtId="0" xfId="0" applyFont="1" applyFill="1" applyBorder="1" applyAlignment="1" applyProtection="1">
      <alignment horizontal="center"/>
    </xf>
    <xf fontId="17" fillId="0" borderId="16" numFmtId="0" xfId="41" applyFont="1" applyBorder="1" applyAlignment="1" applyProtection="1">
      <alignment horizontal="center" vertical="center"/>
    </xf>
    <xf fontId="17" fillId="34" borderId="10" numFmtId="3" xfId="20" applyNumberFormat="1" applyFont="1" applyFill="1" applyBorder="1" applyAlignment="1" applyProtection="1">
      <alignment horizontal="center" vertical="center"/>
      <protection locked="0"/>
    </xf>
    <xf fontId="17" fillId="34" borderId="12" numFmtId="3" xfId="20" applyNumberFormat="1" applyFont="1" applyFill="1" applyBorder="1" applyAlignment="1" applyProtection="1">
      <alignment horizontal="center" vertical="center"/>
      <protection locked="0"/>
    </xf>
    <xf fontId="17" fillId="0" borderId="10" numFmtId="0" xfId="21" applyFont="1" applyBorder="1" applyAlignment="1" applyProtection="1">
      <alignment wrapText="1"/>
    </xf>
    <xf fontId="17" fillId="0" borderId="10" numFmtId="0" xfId="21" applyFont="1" applyBorder="1" applyAlignment="1" applyProtection="1">
      <alignment horizontal="center" wrapText="1"/>
    </xf>
    <xf fontId="17" fillId="0" borderId="17" numFmtId="0" xfId="21" applyFont="1" applyBorder="1" applyAlignment="1" applyProtection="1">
      <alignment horizontal="center" wrapText="1"/>
    </xf>
    <xf fontId="17" fillId="38" borderId="15" numFmtId="3" xfId="20" applyNumberFormat="1" applyFont="1" applyFill="1" applyBorder="1" applyAlignment="1" applyProtection="1">
      <alignment horizontal="center" vertical="center"/>
    </xf>
    <xf fontId="26" fillId="0" borderId="10" numFmtId="0" xfId="21" applyFont="1" applyBorder="1" applyAlignment="1" applyProtection="1">
      <alignment horizontal="left" vertical="center" wrapText="1"/>
    </xf>
    <xf fontId="26" fillId="38" borderId="15" numFmtId="4" xfId="20" applyNumberFormat="1" applyFont="1" applyFill="1" applyBorder="1" applyAlignment="1" applyProtection="1">
      <alignment horizontal="center" vertical="center"/>
    </xf>
    <xf fontId="26" fillId="0" borderId="16" numFmtId="0" xfId="41" applyFont="1" applyBorder="1" applyAlignment="1" applyProtection="1">
      <alignment horizontal="center" vertical="center"/>
    </xf>
    <xf fontId="17" fillId="38" borderId="10" numFmtId="4" xfId="20" applyNumberFormat="1" applyFont="1" applyFill="1" applyBorder="1" applyAlignment="1" applyProtection="1">
      <alignment horizontal="center" vertical="center"/>
    </xf>
    <xf fontId="27" fillId="38" borderId="10" numFmtId="3" xfId="20" applyNumberFormat="1" applyFont="1" applyFill="1" applyBorder="1" applyAlignment="1" applyProtection="1">
      <alignment horizontal="center" vertical="center"/>
    </xf>
    <xf fontId="27" fillId="38" borderId="17" numFmtId="3" xfId="20" applyNumberFormat="1" applyFont="1" applyFill="1" applyBorder="1" applyAlignment="1" applyProtection="1">
      <alignment horizontal="center" vertical="center"/>
    </xf>
    <xf fontId="17" fillId="38" borderId="10" numFmtId="3" xfId="20" applyNumberFormat="1" applyFont="1" applyFill="1" applyBorder="1" applyAlignment="1" applyProtection="1">
      <alignment horizontal="center" vertical="center"/>
    </xf>
    <xf fontId="17" fillId="38" borderId="12" numFmtId="3" xfId="20" applyNumberFormat="1" applyFont="1" applyFill="1" applyBorder="1" applyAlignment="1" applyProtection="1">
      <alignment horizontal="center" vertical="center"/>
    </xf>
    <xf fontId="0" fillId="0" borderId="0" numFmtId="2" xfId="0" applyNumberFormat="1"/>
  </cellXfs>
  <cellStyles count="50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Normal_20100524 - Credit application - WC - v0" xfId="19"/>
    <cellStyle name="Normal_20100705 1945 - Credit application - WC" xfId="20"/>
    <cellStyle name="Акцент1" xfId="21" builtinId="29"/>
    <cellStyle name="Акцент2" xfId="22" builtinId="33"/>
    <cellStyle name="Акцент3" xfId="23" builtinId="37"/>
    <cellStyle name="Акцент4" xfId="24" builtinId="41"/>
    <cellStyle name="Акцент5" xfId="25" builtinId="45"/>
    <cellStyle name="Акцент6" xfId="26" builtinId="49"/>
    <cellStyle name="Ввод " xfId="27" builtinId="20"/>
    <cellStyle name="Вывод" xfId="28" builtinId="21"/>
    <cellStyle name="Вычисление" xfId="29" builtinId="22"/>
    <cellStyle name="Денежный" xfId="30" builtinId="4"/>
    <cellStyle name="Денежный [0]" xfId="31" builtinId="7"/>
    <cellStyle name="Заголовок 1" xfId="32" builtinId="16"/>
    <cellStyle name="Заголовок 2" xfId="33" builtinId="17"/>
    <cellStyle name="Заголовок 3" xfId="34" builtinId="18"/>
    <cellStyle name="Заголовок 4" xfId="35" builtinId="19"/>
    <cellStyle name="Итог" xfId="36" builtinId="25"/>
    <cellStyle name="Контрольная ячейка" xfId="37" builtinId="23"/>
    <cellStyle name="Название" xfId="38" builtinId="15"/>
    <cellStyle name="Нейтральный" xfId="39" builtinId="28"/>
    <cellStyle name="Обычный" xfId="0" builtinId="0"/>
    <cellStyle name="Обычный_Invest_project_demo" xfId="40"/>
    <cellStyle name="Плохой" xfId="41" builtinId="27"/>
    <cellStyle name="Пояснение" xfId="42" builtinId="53"/>
    <cellStyle name="Примечание" xfId="43" builtinId="10"/>
    <cellStyle name="Процентный" xfId="44" builtinId="5"/>
    <cellStyle name="Связанная ячейка" xfId="45" builtinId="24"/>
    <cellStyle name="Текст предупреждения" xfId="46" builtinId="11"/>
    <cellStyle name="Финансовый" xfId="47" builtinId="3"/>
    <cellStyle name="Финансовый [0]" xfId="48" builtinId="6"/>
    <cellStyle name="Хороший" xfId="49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9_3_%D0%9C%D0%BE%D0%BD%D0%B8%D1%82%D0%BE%D1%80%D0%B8%D0%BD%D0%B3%20%D0%B7%D0%B0%D0%B5%D0%BC%D1%89%D0%B8%D0%BA%D0%B0_07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ход.Данные"/>
      <sheetName val="Оглавление"/>
      <sheetName val="Св. ф-ма"/>
      <sheetName val="Св. инфо"/>
      <sheetName val="Table_Export"/>
      <sheetName val="1.1"/>
      <sheetName val="1.2.1"/>
      <sheetName val="1.2.2"/>
      <sheetName val="1.2.2 ОПК"/>
      <sheetName val="1.2.3"/>
      <sheetName val="1.3"/>
      <sheetName val="1.4"/>
      <sheetName val="1.5"/>
      <sheetName val="1.6"/>
      <sheetName val="1.7"/>
      <sheetName val="2.1"/>
      <sheetName val="2.2"/>
      <sheetName val="3.2.1"/>
      <sheetName val="3.2.2"/>
      <sheetName val="3.2.3"/>
      <sheetName val="3.2.4"/>
      <sheetName val="3.4"/>
      <sheetName val="3.5"/>
      <sheetName val="Выполнение плана"/>
      <sheetName val="КМЗ"/>
    </sheetNames>
    <sheetDataSet>
      <sheetData sheetId="0">
        <row r="173">
          <cell r="B173" t="str">
            <v/>
          </cell>
        </row>
        <row r="174">
          <cell r="B174" t="str">
            <v/>
          </cell>
        </row>
        <row r="175">
          <cell r="B175" t="str">
            <v/>
          </cell>
        </row>
        <row r="176">
          <cell r="B176" t="str">
            <v/>
          </cell>
        </row>
        <row r="177">
          <cell r="B177" t="str">
            <v/>
          </cell>
        </row>
        <row r="178">
          <cell r="B178" t="str">
            <v/>
          </cell>
        </row>
        <row r="179">
          <cell r="B179" t="str">
            <v/>
          </cell>
        </row>
        <row r="180">
          <cell r="B180" t="str">
            <v/>
          </cell>
        </row>
        <row r="181">
          <cell r="B181" t="str">
            <v/>
          </cell>
        </row>
        <row r="182">
          <cell r="B182" t="str">
            <v/>
          </cell>
        </row>
        <row r="183">
          <cell r="B183" t="str">
            <v/>
          </cell>
        </row>
        <row r="184">
          <cell r="B184" t="str">
            <v/>
          </cell>
        </row>
        <row r="185">
          <cell r="B185" t="str">
            <v/>
          </cell>
        </row>
        <row r="186">
          <cell r="B186" t="str">
            <v/>
          </cell>
        </row>
        <row r="187">
          <cell r="B187" t="str">
            <v/>
          </cell>
        </row>
        <row r="188">
          <cell r="B188" t="str">
            <v/>
          </cell>
        </row>
        <row r="189">
          <cell r="B189" t="str">
            <v/>
          </cell>
        </row>
        <row r="190">
          <cell r="B190" t="str">
            <v/>
          </cell>
        </row>
        <row r="191">
          <cell r="B191" t="str">
            <v/>
          </cell>
        </row>
        <row r="192">
          <cell r="B192" t="str">
            <v/>
          </cell>
        </row>
      </sheetData>
      <sheetData sheetId="15">
        <row r="49">
          <cell r="Y49" t="str">
            <v/>
          </cell>
        </row>
        <row r="52">
          <cell r="Y52" t="str">
            <v/>
          </cell>
        </row>
      </sheetData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1"/>
  </sheetPr>
  <sheetViews>
    <sheetView showRuler="1" topLeftCell="A16" zoomScale="90" workbookViewId="0">
      <selection activeCell="L13" activeCellId="0" sqref="L13"/>
    </sheetView>
  </sheetViews>
  <sheetFormatPr baseColWidth="8" defaultRowHeight="12.75" customHeight="1"/>
  <cols>
    <col customWidth="1" min="1" max="1" width="6.5703100000000001"/>
    <col customWidth="1" min="2" max="2" width="7"/>
    <col customWidth="1" min="3" max="3" width="33"/>
    <col customWidth="1" min="4" max="4" width="13.140599999999999"/>
    <col customWidth="1" min="5" max="5" width="13.425800000000001"/>
    <col customWidth="1" min="7" max="7" width="8.8515625"/>
    <col customWidth="1" min="8" max="8" width="9.5703099999999992"/>
    <col customWidth="1" min="9" max="9" width="4"/>
    <col customWidth="1" min="11" max="11" width="5"/>
    <col customWidth="1" min="13" max="13" width="6"/>
    <col customWidth="1" min="14" max="14" width="19.425799999999999"/>
    <col customWidth="1" min="15" max="15" width="12.140599999999999"/>
    <col customWidth="1" min="16" max="16" width="17.425799999999999"/>
    <col customWidth="1" min="17" max="17" width="14.5703"/>
    <col bestFit="1" customWidth="1" min="18" max="18" width="12.140599999999999"/>
    <col bestFit="1" customWidth="1" min="19" max="19" width="13.2852"/>
    <col customWidth="1" min="20" max="20" width="16.425799999999999"/>
    <col bestFit="1" customWidth="1" min="21" max="21" width="13.2852"/>
    <col customWidth="1" min="22" max="22" width="65.425799999999995"/>
  </cols>
  <sheetData>
    <row r="3" ht="15">
      <c r="B3" s="1" t="s">
        <v>0</v>
      </c>
      <c r="C3" s="2"/>
      <c r="D3" s="3"/>
      <c r="E3" s="4"/>
      <c r="F3" s="4"/>
      <c r="G3" s="4"/>
      <c r="H3" s="4"/>
      <c r="I3" s="4"/>
      <c r="J3" s="4"/>
      <c r="K3" s="4"/>
      <c r="L3" s="4"/>
      <c r="M3" s="5"/>
    </row>
    <row r="4" ht="15">
      <c r="B4" s="6" t="s">
        <v>1</v>
      </c>
      <c r="C4" s="7"/>
      <c r="D4" s="3"/>
      <c r="E4" s="4"/>
      <c r="F4" s="4"/>
      <c r="G4" s="4"/>
      <c r="H4" s="4"/>
      <c r="I4" s="4"/>
      <c r="J4" s="4"/>
      <c r="K4" s="4"/>
      <c r="L4" s="4"/>
      <c r="M4" s="5"/>
    </row>
    <row r="5" ht="15">
      <c r="B5" s="1" t="s">
        <v>3</v>
      </c>
      <c r="C5" s="2"/>
      <c r="D5" s="3"/>
      <c r="E5" s="4"/>
      <c r="F5" s="4"/>
      <c r="G5" s="4"/>
      <c r="H5" s="4"/>
      <c r="I5" s="4"/>
      <c r="J5" s="4"/>
      <c r="K5" s="4"/>
      <c r="L5" s="4"/>
      <c r="M5" s="5"/>
    </row>
    <row r="7" ht="15">
      <c r="B7" s="8" t="s">
        <v>4</v>
      </c>
      <c r="C7" s="2"/>
      <c r="D7" s="2"/>
      <c r="E7" s="2"/>
      <c r="F7" s="7"/>
      <c r="G7" s="7"/>
      <c r="H7" s="7"/>
      <c r="I7" s="7"/>
      <c r="J7" s="9"/>
      <c r="K7" s="9"/>
      <c r="L7" s="7"/>
      <c r="M7" s="7"/>
    </row>
    <row r="8" ht="12.7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R8" s="12">
        <f>F9</f>
        <v>45931</v>
      </c>
      <c r="S8" s="12">
        <f>H9</f>
        <v>46023</v>
      </c>
      <c r="T8" s="12">
        <f>J9</f>
        <v>46113</v>
      </c>
      <c r="U8" s="12">
        <f>L9</f>
        <v>46204</v>
      </c>
    </row>
    <row r="9" ht="63.75">
      <c r="B9" s="10"/>
      <c r="C9" s="13" t="s">
        <v>5</v>
      </c>
      <c r="D9" s="14" t="s">
        <v>6</v>
      </c>
      <c r="E9" s="15">
        <v>45839</v>
      </c>
      <c r="F9" s="15">
        <v>45931</v>
      </c>
      <c r="G9" s="16"/>
      <c r="H9" s="17">
        <v>46023</v>
      </c>
      <c r="I9" s="16"/>
      <c r="J9" s="17">
        <v>46113</v>
      </c>
      <c r="K9" s="16"/>
      <c r="L9" s="15">
        <v>46204</v>
      </c>
      <c r="M9" s="16"/>
      <c r="P9" s="18" t="s">
        <v>7</v>
      </c>
      <c r="Q9" t="s">
        <v>8</v>
      </c>
      <c r="R9" s="19">
        <f>F21/F29</f>
        <v>1.0025971410172396</v>
      </c>
      <c r="S9" s="19">
        <f>H21/H29</f>
        <v>1.0305472613604554</v>
      </c>
      <c r="T9" s="19">
        <f>J21/J29</f>
        <v>1.2001807301940646</v>
      </c>
      <c r="U9" s="19">
        <f>L21/L29</f>
        <v>1.1096532290982257</v>
      </c>
      <c r="V9" s="20" t="s">
        <v>9</v>
      </c>
    </row>
    <row r="10" ht="93" customHeight="1">
      <c r="B10" s="10"/>
      <c r="C10" s="21" t="s">
        <v>10</v>
      </c>
      <c r="D10" s="22">
        <v>2110</v>
      </c>
      <c r="E10" s="23">
        <v>0</v>
      </c>
      <c r="F10" s="24">
        <v>0</v>
      </c>
      <c r="G10" s="25"/>
      <c r="H10" s="24">
        <v>0</v>
      </c>
      <c r="I10" s="25"/>
      <c r="J10" s="24">
        <v>0</v>
      </c>
      <c r="K10" s="25"/>
      <c r="L10" s="24">
        <v>0</v>
      </c>
      <c r="M10" s="25"/>
      <c r="O10" s="26" t="s">
        <v>11</v>
      </c>
      <c r="P10" s="27" t="s">
        <v>12</v>
      </c>
      <c r="Q10" s="18" t="s">
        <v>13</v>
      </c>
      <c r="U10" s="19">
        <f>(L12+H12-E12)/(L10+H10-E10)%</f>
        <v>15.889754380525178</v>
      </c>
      <c r="V10" s="28" t="s">
        <v>14</v>
      </c>
    </row>
    <row r="11" ht="38.25">
      <c r="B11" s="10"/>
      <c r="C11" s="29" t="s">
        <v>15</v>
      </c>
      <c r="D11" s="30">
        <v>2200</v>
      </c>
      <c r="E11" s="31">
        <v>0</v>
      </c>
      <c r="F11" s="32">
        <v>0</v>
      </c>
      <c r="G11" s="25"/>
      <c r="H11" s="32">
        <v>0</v>
      </c>
      <c r="I11" s="25"/>
      <c r="J11" s="24">
        <v>0</v>
      </c>
      <c r="K11" s="25"/>
      <c r="L11" s="24">
        <v>0</v>
      </c>
      <c r="M11" s="25"/>
      <c r="N11" s="26"/>
      <c r="O11" s="26" t="s">
        <v>16</v>
      </c>
      <c r="P11" s="27" t="s">
        <v>17</v>
      </c>
      <c r="Q11" s="18" t="s">
        <v>13</v>
      </c>
      <c r="T11" s="19">
        <f>(J12)/(J10)%</f>
        <v>20.320878223725451</v>
      </c>
      <c r="U11" s="19">
        <f>(L12-J12)/(L10-J10)%</f>
        <v>20.374044937980205</v>
      </c>
    </row>
    <row r="12" ht="25.5">
      <c r="B12" s="10"/>
      <c r="C12" s="29" t="s">
        <v>18</v>
      </c>
      <c r="D12" s="30">
        <v>2400</v>
      </c>
      <c r="E12" s="31">
        <v>0</v>
      </c>
      <c r="F12" s="24">
        <v>0</v>
      </c>
      <c r="G12" s="25"/>
      <c r="H12" s="24">
        <v>0</v>
      </c>
      <c r="I12" s="25"/>
      <c r="J12" s="24">
        <v>0</v>
      </c>
      <c r="K12" s="25"/>
      <c r="L12" s="24">
        <v>0</v>
      </c>
      <c r="M12" s="25"/>
      <c r="N12" s="33"/>
      <c r="O12" s="33"/>
      <c r="P12" s="34" t="s">
        <v>19</v>
      </c>
      <c r="Q12" s="33"/>
      <c r="T12" s="35"/>
      <c r="U12" s="35"/>
      <c r="V12" s="20" t="s">
        <v>20</v>
      </c>
    </row>
    <row r="13" ht="12.75">
      <c r="B13" s="10"/>
      <c r="C13" s="10"/>
      <c r="D13" s="10"/>
      <c r="E13" s="10"/>
      <c r="F13" s="10"/>
      <c r="G13" s="10"/>
      <c r="H13" s="36"/>
      <c r="I13" s="36"/>
      <c r="J13" s="36"/>
      <c r="K13" s="36"/>
      <c r="L13" s="10" t="s">
        <v>21</v>
      </c>
      <c r="M13" s="10"/>
      <c r="N13" s="37"/>
      <c r="O13" s="37"/>
      <c r="P13" s="37"/>
      <c r="Q13" s="37"/>
      <c r="R13" s="38"/>
    </row>
    <row r="14" ht="15">
      <c r="B14" s="8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15"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ht="12.75">
      <c r="B16" s="10"/>
      <c r="C16" s="13" t="s">
        <v>23</v>
      </c>
      <c r="D16" s="14" t="s">
        <v>6</v>
      </c>
      <c r="E16" s="15">
        <f>E9</f>
        <v>45839</v>
      </c>
      <c r="F16" s="41">
        <f>F9</f>
        <v>45931</v>
      </c>
      <c r="G16" s="42"/>
      <c r="H16" s="41">
        <f>H9</f>
        <v>46023</v>
      </c>
      <c r="I16" s="42"/>
      <c r="J16" s="41">
        <f>J9</f>
        <v>46113</v>
      </c>
      <c r="K16" s="42"/>
      <c r="L16" s="41">
        <f>L9</f>
        <v>46204</v>
      </c>
      <c r="M16" s="42"/>
    </row>
    <row r="17" ht="12.75">
      <c r="B17" s="10"/>
      <c r="C17" s="43" t="s">
        <v>24</v>
      </c>
      <c r="D17" s="44"/>
      <c r="E17" s="44"/>
      <c r="F17" s="45"/>
      <c r="G17" s="45"/>
      <c r="H17" s="45"/>
      <c r="I17" s="45"/>
      <c r="J17" s="45"/>
      <c r="K17" s="45"/>
      <c r="L17" s="46"/>
      <c r="M17" s="47"/>
    </row>
    <row r="18" ht="51">
      <c r="B18" s="10"/>
      <c r="C18" s="48" t="s">
        <v>25</v>
      </c>
      <c r="D18" s="49">
        <v>1230</v>
      </c>
      <c r="E18" s="31">
        <v>0</v>
      </c>
      <c r="F18" s="24">
        <v>0</v>
      </c>
      <c r="G18" s="50"/>
      <c r="H18" s="24">
        <v>0</v>
      </c>
      <c r="I18" s="50"/>
      <c r="J18" s="24">
        <v>0</v>
      </c>
      <c r="K18" s="50"/>
      <c r="L18" s="24">
        <v>0</v>
      </c>
      <c r="M18" s="50"/>
      <c r="Q18" s="33"/>
      <c r="R18" s="33">
        <f>F10-E10</f>
        <v>733359</v>
      </c>
      <c r="S18" s="33">
        <f>H10-F10</f>
        <v>545372</v>
      </c>
      <c r="T18" s="33">
        <f>J10</f>
        <v>685930</v>
      </c>
      <c r="U18" s="33">
        <f>L10-J10</f>
        <v>654146</v>
      </c>
    </row>
    <row r="19" ht="25.5">
      <c r="B19" s="10"/>
      <c r="C19" s="48" t="s">
        <v>26</v>
      </c>
      <c r="D19" s="49">
        <v>1240</v>
      </c>
      <c r="E19" s="31">
        <v>0</v>
      </c>
      <c r="F19" s="24">
        <v>0</v>
      </c>
      <c r="G19" s="50"/>
      <c r="H19" s="24">
        <v>0</v>
      </c>
      <c r="I19" s="50"/>
      <c r="J19" s="24">
        <v>0</v>
      </c>
      <c r="K19" s="50"/>
      <c r="L19" s="24">
        <v>0</v>
      </c>
      <c r="M19" s="50"/>
    </row>
    <row r="20" ht="12.75">
      <c r="B20" s="10"/>
      <c r="C20" s="48" t="s">
        <v>27</v>
      </c>
      <c r="D20" s="49">
        <v>1250</v>
      </c>
      <c r="E20" s="31">
        <v>0</v>
      </c>
      <c r="F20" s="24">
        <v>0</v>
      </c>
      <c r="G20" s="50"/>
      <c r="H20" s="24">
        <v>0</v>
      </c>
      <c r="I20" s="50"/>
      <c r="J20" s="24">
        <v>0</v>
      </c>
      <c r="K20" s="50"/>
      <c r="L20" s="24">
        <v>0</v>
      </c>
      <c r="M20" s="50"/>
    </row>
    <row r="21" ht="12.75">
      <c r="B21" s="10"/>
      <c r="C21" s="51" t="s">
        <v>28</v>
      </c>
      <c r="D21" s="52">
        <v>1200</v>
      </c>
      <c r="E21" s="31">
        <v>0</v>
      </c>
      <c r="F21" s="24">
        <v>0</v>
      </c>
      <c r="G21" s="50"/>
      <c r="H21" s="24">
        <v>0</v>
      </c>
      <c r="I21" s="50"/>
      <c r="J21" s="24">
        <v>0</v>
      </c>
      <c r="K21" s="50"/>
      <c r="L21" s="24">
        <v>0</v>
      </c>
      <c r="M21" s="50"/>
    </row>
    <row r="22" ht="12.75">
      <c r="B22" s="10"/>
      <c r="C22" s="53"/>
      <c r="D22" s="53"/>
      <c r="E22" s="53"/>
      <c r="F22" s="53"/>
      <c r="G22" s="53"/>
      <c r="H22" s="53"/>
      <c r="I22" s="53"/>
      <c r="J22" s="53"/>
      <c r="K22" s="53"/>
      <c r="L22" s="10"/>
      <c r="M22" s="53"/>
    </row>
    <row r="23" ht="12.75">
      <c r="B23" s="10"/>
      <c r="C23" s="13" t="s">
        <v>29</v>
      </c>
      <c r="D23" s="14"/>
      <c r="E23" s="15">
        <f>E9</f>
        <v>45839</v>
      </c>
      <c r="F23" s="41">
        <f>F16</f>
        <v>45931</v>
      </c>
      <c r="G23" s="42"/>
      <c r="H23" s="54">
        <f>H16</f>
        <v>46023</v>
      </c>
      <c r="I23" s="42"/>
      <c r="J23" s="54">
        <f>J16</f>
        <v>46113</v>
      </c>
      <c r="K23" s="42"/>
      <c r="L23" s="54">
        <f>L16</f>
        <v>46204</v>
      </c>
      <c r="M23" s="42"/>
    </row>
    <row r="24" ht="12.75">
      <c r="B24" s="10"/>
      <c r="C24" s="55" t="s">
        <v>30</v>
      </c>
      <c r="D24" s="56"/>
      <c r="E24" s="56"/>
      <c r="F24" s="57"/>
      <c r="G24" s="57"/>
      <c r="H24" s="57"/>
      <c r="I24" s="57"/>
      <c r="J24" s="57"/>
      <c r="K24" s="57"/>
      <c r="L24" s="58"/>
      <c r="M24" s="59"/>
    </row>
    <row r="25" ht="78.75" customHeight="1">
      <c r="B25" s="10"/>
      <c r="C25" s="51" t="s">
        <v>31</v>
      </c>
      <c r="D25" s="52">
        <v>1300</v>
      </c>
      <c r="E25" s="31">
        <v>0</v>
      </c>
      <c r="F25" s="24">
        <v>0</v>
      </c>
      <c r="G25" s="50"/>
      <c r="H25" s="24">
        <v>0</v>
      </c>
      <c r="I25" s="50"/>
      <c r="J25" s="24">
        <v>0</v>
      </c>
      <c r="K25" s="50"/>
      <c r="L25" s="24">
        <v>0</v>
      </c>
      <c r="M25" s="50"/>
      <c r="N25" s="20" t="s">
        <v>32</v>
      </c>
      <c r="O25" s="20"/>
    </row>
    <row r="26" ht="25.5">
      <c r="B26" s="10"/>
      <c r="C26" s="60" t="s">
        <v>33</v>
      </c>
      <c r="D26" s="61"/>
      <c r="E26" s="62"/>
      <c r="F26" s="62"/>
      <c r="G26" s="62"/>
      <c r="H26" s="63"/>
      <c r="I26" s="63"/>
      <c r="J26" s="63"/>
      <c r="K26" s="63"/>
      <c r="L26" s="63"/>
      <c r="M26" s="63"/>
    </row>
    <row r="27" ht="12.75">
      <c r="B27" s="10"/>
      <c r="C27" s="48" t="s">
        <v>34</v>
      </c>
      <c r="D27" s="49">
        <v>1530</v>
      </c>
      <c r="E27" s="31">
        <v>0</v>
      </c>
      <c r="F27" s="24">
        <v>0</v>
      </c>
      <c r="G27" s="50"/>
      <c r="H27" s="24">
        <v>0</v>
      </c>
      <c r="I27" s="50"/>
      <c r="J27" s="24">
        <v>0</v>
      </c>
      <c r="K27" s="50"/>
      <c r="L27" s="24">
        <v>0</v>
      </c>
      <c r="M27" s="50"/>
    </row>
    <row r="28" ht="25.5">
      <c r="B28" s="10"/>
      <c r="C28" s="48" t="s">
        <v>35</v>
      </c>
      <c r="D28" s="49">
        <v>1550</v>
      </c>
      <c r="E28" s="31">
        <v>0</v>
      </c>
      <c r="F28" s="24">
        <v>0</v>
      </c>
      <c r="G28" s="50"/>
      <c r="H28" s="24">
        <v>0</v>
      </c>
      <c r="I28" s="50"/>
      <c r="J28" s="24">
        <v>0</v>
      </c>
      <c r="K28" s="50"/>
      <c r="L28" s="24">
        <v>0</v>
      </c>
      <c r="M28" s="50"/>
    </row>
    <row r="29" ht="12.75">
      <c r="B29" s="10"/>
      <c r="C29" s="51" t="s">
        <v>36</v>
      </c>
      <c r="D29" s="64">
        <v>1500</v>
      </c>
      <c r="E29" s="31">
        <v>0</v>
      </c>
      <c r="F29" s="24">
        <v>0</v>
      </c>
      <c r="G29" s="50"/>
      <c r="H29" s="24">
        <v>0</v>
      </c>
      <c r="I29" s="50"/>
      <c r="J29" s="24">
        <v>0</v>
      </c>
      <c r="K29" s="50"/>
      <c r="L29" s="24">
        <v>0</v>
      </c>
      <c r="M29" s="50"/>
    </row>
    <row r="30" ht="25.5">
      <c r="B30" s="10"/>
      <c r="C30" s="51" t="s">
        <v>37</v>
      </c>
      <c r="D30" s="64">
        <v>1600</v>
      </c>
      <c r="E30" s="31">
        <v>0</v>
      </c>
      <c r="F30" s="24">
        <v>0</v>
      </c>
      <c r="G30" s="50"/>
      <c r="H30" s="24">
        <v>0</v>
      </c>
      <c r="I30" s="50"/>
      <c r="J30" s="24">
        <v>0</v>
      </c>
      <c r="K30" s="50"/>
      <c r="L30" s="24">
        <v>0</v>
      </c>
      <c r="M30" s="50"/>
    </row>
    <row r="31" ht="12.75">
      <c r="B31" s="10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15">
      <c r="B32" s="8" t="s">
        <v>38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ht="12.75">
      <c r="B33" s="10"/>
      <c r="C33" s="10"/>
      <c r="D33" s="10"/>
      <c r="E33" s="10"/>
      <c r="F33" s="10"/>
      <c r="G33" s="10"/>
      <c r="H33" s="36"/>
      <c r="I33" s="36"/>
      <c r="J33" s="36"/>
      <c r="K33" s="36"/>
      <c r="L33" s="10"/>
      <c r="M33" s="10"/>
    </row>
    <row r="34" ht="12.75">
      <c r="B34" s="10"/>
      <c r="C34" s="13" t="s">
        <v>38</v>
      </c>
      <c r="D34" s="14"/>
      <c r="E34" s="65"/>
      <c r="F34" s="41"/>
      <c r="G34" s="42"/>
      <c r="H34" s="54"/>
      <c r="I34" s="42"/>
      <c r="J34" s="54"/>
      <c r="K34" s="42"/>
      <c r="L34" s="54"/>
      <c r="M34" s="42"/>
    </row>
    <row r="35" ht="25.5">
      <c r="B35" s="10"/>
      <c r="C35" s="48" t="s">
        <v>39</v>
      </c>
      <c r="D35" s="66"/>
      <c r="E35" s="67"/>
      <c r="F35" s="67">
        <v>0</v>
      </c>
      <c r="G35" s="68"/>
      <c r="H35" s="67">
        <v>0</v>
      </c>
      <c r="I35" s="68"/>
      <c r="J35" s="67">
        <v>0</v>
      </c>
      <c r="K35" s="68"/>
      <c r="L35" s="67">
        <v>0</v>
      </c>
      <c r="M35" s="68"/>
    </row>
    <row r="36" ht="25.5">
      <c r="B36" s="10"/>
      <c r="C36" s="48" t="s">
        <v>40</v>
      </c>
      <c r="D36" s="66"/>
      <c r="E36" s="67"/>
      <c r="F36" s="67">
        <v>0</v>
      </c>
      <c r="G36" s="68"/>
      <c r="H36" s="67">
        <v>0</v>
      </c>
      <c r="I36" s="68"/>
      <c r="J36" s="67">
        <v>0</v>
      </c>
      <c r="K36" s="68"/>
      <c r="L36" s="67">
        <v>0</v>
      </c>
      <c r="M36" s="68"/>
    </row>
    <row r="37" ht="51">
      <c r="B37" s="10"/>
      <c r="C37" s="48" t="s">
        <v>41</v>
      </c>
      <c r="D37" s="66"/>
      <c r="E37" s="67"/>
      <c r="F37" s="67">
        <v>0</v>
      </c>
      <c r="G37" s="68"/>
      <c r="H37" s="67">
        <v>0</v>
      </c>
      <c r="I37" s="68"/>
      <c r="J37" s="67">
        <v>0</v>
      </c>
      <c r="K37" s="68"/>
      <c r="L37" s="67">
        <v>0</v>
      </c>
      <c r="M37" s="68"/>
    </row>
    <row r="38" ht="38.25">
      <c r="B38" s="10"/>
      <c r="C38" s="48" t="s">
        <v>42</v>
      </c>
      <c r="D38" s="66"/>
      <c r="E38" s="67"/>
      <c r="F38" s="67">
        <v>0</v>
      </c>
      <c r="G38" s="68"/>
      <c r="H38" s="67">
        <v>0</v>
      </c>
      <c r="I38" s="68"/>
      <c r="J38" s="67">
        <v>0</v>
      </c>
      <c r="K38" s="68"/>
      <c r="L38" s="67">
        <v>0</v>
      </c>
      <c r="M38" s="68"/>
    </row>
    <row r="39" ht="25.5">
      <c r="B39" s="10"/>
      <c r="C39" s="48" t="s">
        <v>43</v>
      </c>
      <c r="D39" s="66"/>
      <c r="E39" s="67"/>
      <c r="F39" s="67">
        <v>0</v>
      </c>
      <c r="G39" s="68"/>
      <c r="H39" s="67">
        <v>0</v>
      </c>
      <c r="I39" s="68"/>
      <c r="J39" s="67">
        <v>0</v>
      </c>
      <c r="K39" s="68"/>
      <c r="L39" s="67">
        <v>0</v>
      </c>
      <c r="M39" s="68"/>
    </row>
    <row r="40" ht="12.75">
      <c r="B40" s="10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5">
      <c r="B41" s="8" t="s">
        <v>44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ht="12.75">
      <c r="B42" s="10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12.75">
      <c r="B43" s="10"/>
      <c r="C43" s="13" t="s">
        <v>45</v>
      </c>
      <c r="D43" s="14"/>
      <c r="E43" s="65"/>
      <c r="F43" s="41"/>
      <c r="G43" s="42"/>
      <c r="H43" s="54"/>
      <c r="I43" s="42"/>
      <c r="J43" s="54"/>
      <c r="K43" s="42"/>
      <c r="L43" s="54"/>
      <c r="M43" s="42"/>
    </row>
    <row r="44" ht="25.5">
      <c r="B44" s="10"/>
      <c r="C44" s="69"/>
      <c r="D44" s="66"/>
      <c r="E44" s="66"/>
      <c r="F44" s="70" t="s">
        <v>46</v>
      </c>
      <c r="G44" s="70" t="s">
        <v>47</v>
      </c>
      <c r="H44" s="70" t="s">
        <v>46</v>
      </c>
      <c r="I44" s="70" t="s">
        <v>47</v>
      </c>
      <c r="J44" s="70" t="s">
        <v>46</v>
      </c>
      <c r="K44" s="70" t="s">
        <v>47</v>
      </c>
      <c r="L44" s="70" t="s">
        <v>46</v>
      </c>
      <c r="M44" s="71" t="s">
        <v>47</v>
      </c>
    </row>
    <row r="45" ht="12.75">
      <c r="B45" s="10"/>
      <c r="C45" s="48" t="s">
        <v>48</v>
      </c>
      <c r="D45" s="66"/>
      <c r="E45" s="66"/>
      <c r="F45" s="72">
        <f>IF(ISERROR((F20+F37)/(F29-(F28+F27))),"",(F20+F37)/(F29-(F28+F27)))</f>
        <v>0.019251545941154202</v>
      </c>
      <c r="G45" s="72">
        <f>IF(F45&lt;0.050000000000000003,3,IF(F45&lt;0.10000000000000001,2,IF(F45&gt;=0.10000000000000001,1)))</f>
        <v>3</v>
      </c>
      <c r="H45" s="72">
        <f>IF(ISERROR((H20+H37)/(H29-(H28+H27))),"",(H20+H37)/(H29-(H28+H27)))</f>
        <v>0.20870445644276778</v>
      </c>
      <c r="I45" s="72">
        <f>IF(H45&lt;0.050000000000000003,3,IF(H45&lt;0.10000000000000001,2,IF(H45&gt;=0.10000000000000001,1)))</f>
        <v>1</v>
      </c>
      <c r="J45" s="72">
        <f>IF(ISERROR((J20+J37)/(J29-(J28+J27))),"",(J20+J37)/(J29-(J28+J27)))</f>
        <v>0.12443562059427143</v>
      </c>
      <c r="K45" s="72">
        <f>IF(J45&lt;0.050000000000000003,3,IF(J45&lt;0.10000000000000001,2,IF(J45&gt;=0.10000000000000001,1)))</f>
        <v>1</v>
      </c>
      <c r="L45" s="72">
        <f>IF(ISERROR((L20+L37)/(L29-(L28+L27))),"",(L20+L37)/(L29-(L28+L27)))</f>
        <v>0.074314307546578487</v>
      </c>
      <c r="M45" s="72">
        <f>IF(L45&lt;0.050000000000000003,3,IF(L45&lt;0.10000000000000001,2,IF(L45&gt;=0.10000000000000001,1)))</f>
        <v>2</v>
      </c>
    </row>
    <row r="46" ht="12.75">
      <c r="B46" s="10"/>
      <c r="C46" s="48" t="s">
        <v>49</v>
      </c>
      <c r="D46" s="66"/>
      <c r="E46" s="66"/>
      <c r="F46" s="72">
        <f>IF(ISERROR((F20+F19-F38+F18-F35)/(F29-(F28+F27))),"",(F20+F19-F38+F18-F35)/(F29-(F28+F27)))</f>
        <v>1.0713318333061441</v>
      </c>
      <c r="G46" s="72">
        <f>IF(F46&lt;0.5,3,IF(F46&lt;0.80000000000000004,2,IF(F46&gt;=0.80000000000000004,1,)))</f>
        <v>1</v>
      </c>
      <c r="H46" s="72">
        <f>IF(ISERROR((H20+H19-H38+H18-H35)/(H29-(H28+H27))),"",(H20+H19-H38+H18-H35)/(H29-(H28+H27)))</f>
        <v>1.1070338464275804</v>
      </c>
      <c r="I46" s="72">
        <f>IF(H46&lt;0.5,3,IF(H46&lt;0.80000000000000004,2,IF(H46&gt;=0.80000000000000004,1,)))</f>
        <v>1</v>
      </c>
      <c r="J46" s="72">
        <f>IF(ISERROR((J20+J19-J38+J18-J35)/(J29-(J28+J27))),"",(J20+J19-J38+J18-J35)/(J29-(J28+J27)))</f>
        <v>1.4386566431694476</v>
      </c>
      <c r="K46" s="72">
        <f>IF(J46&lt;0.5,3,IF(J46&lt;0.80000000000000004,2,IF(J46&gt;=0.80000000000000004,1,)))</f>
        <v>1</v>
      </c>
      <c r="L46" s="72">
        <f>IF(ISERROR((L20+L19-L38+L18-L35)/(L29-(L28+L27))),"",(L20+L19-L38+L18-L35)/(L29-(L28+L27)))</f>
        <v>1.2661409309712202</v>
      </c>
      <c r="M46" s="72">
        <f>IF(L46&lt;0.5,3,IF(L46&lt;0.80000000000000004,2,IF(L46&gt;=0.80000000000000004,1,)))</f>
        <v>1</v>
      </c>
    </row>
    <row r="47" ht="12.75">
      <c r="B47" s="10"/>
      <c r="C47" s="73" t="s">
        <v>50</v>
      </c>
      <c r="D47" s="66"/>
      <c r="E47" s="66"/>
      <c r="F47" s="74">
        <f>IF(ISERROR((F21-F35-F36-F38-F39)/(F29-F28-F27)),"",(F21-F35-F36-F38-F39)/(F29-F28-F27))</f>
        <v>1.0878331583985619</v>
      </c>
      <c r="G47" s="72">
        <f>IF(F47&lt;1,3,IF(F47&lt;1.5,2,IF(F47&gt;=1.5,1,)))</f>
        <v>2</v>
      </c>
      <c r="H47" s="74">
        <f>IF(ISERROR((H21-H35-H36-H38-H39)/(H29-H28-H27)),"",(H21-H35-H36-H38-H39)/(H29-H28-H27))</f>
        <v>1.1229117374810158</v>
      </c>
      <c r="I47" s="72">
        <f>IF(H47&lt;1,3,IF(H47&lt;1.5,2,IF(H47&gt;=1.5,1,)))</f>
        <v>2</v>
      </c>
      <c r="J47" s="74">
        <f>IF(ISERROR((J21-J35-J36-J38-J39)/(J29-J28-J27)),"",(J21-J35-J36-J38-J39)/(J29-J28-J27))</f>
        <v>1.4576782368162755</v>
      </c>
      <c r="K47" s="72">
        <f>IF(J47&lt;1,3,IF(J47&lt;1.5,2,IF(J47&gt;=1.5,1,)))</f>
        <v>2</v>
      </c>
      <c r="L47" s="74">
        <f>IF(ISERROR((L21-L35-L36-L38-L39)/(L29-L28-L27)),"",(L21-L35-L36-L38-L39)/(L29-L28-L27))</f>
        <v>1.2875541845814715</v>
      </c>
      <c r="M47" s="72">
        <f>IF(L47&lt;1,3,IF(L47&lt;1.5,2,IF(L47&gt;=1.5,1,)))</f>
        <v>2</v>
      </c>
    </row>
    <row r="48" ht="25.5">
      <c r="B48" s="10"/>
      <c r="C48" s="48" t="s">
        <v>51</v>
      </c>
      <c r="D48" s="66"/>
      <c r="E48" s="66"/>
      <c r="F48" s="72">
        <f>IF(ISERROR((F25+F27+F28)/F30),"",(F25+F27+F28)/F30)</f>
        <v>0.5392128001291504</v>
      </c>
      <c r="G48" s="72" t="e">
        <f>IF(OR($D5=Torg,$D5=Lease),IF(F48&lt;0.14999999999999999,3,IF(F48&lt;0.25,2,IF(F48&gt;=0.25,1,))),IF(F48&lt;0.25,3,IF(F48&lt;0.40000000000000002,2,IF(F48&gt;=0.40000000000000002,1,))))</f>
        <v>#REF!</v>
      </c>
      <c r="H48" s="72">
        <f>IF(ISERROR((H25+H27+H28)/H30),"",(H25+H27+H28)/H30)</f>
        <v>0.60628395432268622</v>
      </c>
      <c r="I48" s="72" t="e">
        <f>IF(OR($D5=Torg,$D5=Lease),IF(H48&lt;0.14999999999999999,3,IF(H48&lt;0.25,2,IF(H48&gt;=0.25,1,))),IF(H48&lt;0.25,3,IF(H48&lt;0.40000000000000002,2,IF(H48&gt;=0.40000000000000002,1,))))</f>
        <v>#REF!</v>
      </c>
      <c r="J48" s="72">
        <f>IF(ISERROR((J25+J27+J28)/J30),"",(J25+J27+J28)/J30)</f>
        <v>0.62780290374327574</v>
      </c>
      <c r="K48" s="72" t="e">
        <f>IF(OR($D5=Torg,$D5=Lease),IF(J48&lt;0.14999999999999999,3,IF(J48&lt;0.25,2,IF(J48&gt;=0.25,1,))),IF(J48&lt;0.25,3,IF(J48&lt;0.40000000000000002,2,IF(J48&gt;=0.40000000000000002,1,))))</f>
        <v>#REF!</v>
      </c>
      <c r="L48" s="72">
        <f>IF(ISERROR((L25+L27+L28)/L30),"",(L25+L27+L28)/L30)</f>
        <v>0.58473240118932801</v>
      </c>
      <c r="M48" s="72" t="e">
        <f>IF(OR($D5=Torg,$D5=Lease),IF(L48&lt;0.14999999999999999,3,IF(L48&lt;0.25,2,IF(L48&gt;=0.25,1,))),IF(L48&lt;0.25,3,IF(L48&lt;0.40000000000000002,2,IF(L48&gt;=0.40000000000000002,1,))))</f>
        <v>#REF!</v>
      </c>
    </row>
    <row r="49" ht="12.75">
      <c r="B49" s="10"/>
      <c r="C49" s="48" t="s">
        <v>52</v>
      </c>
      <c r="D49" s="66"/>
      <c r="E49" s="66"/>
      <c r="F49" s="72">
        <f>IF(ISERROR(F11/F10),"",F11/F10)</f>
        <v>0.26598445701066326</v>
      </c>
      <c r="G49" s="72">
        <f>IF(F10=0,"3",IF(F49&lt;0,3,IF(F49&lt;0.10000000000000001,2,IF(F49&gt;=0.10000000000000001,1,))))</f>
        <v>1</v>
      </c>
      <c r="H49" s="72">
        <f>IF(ISERROR(H11/H10),"",H11/H10)</f>
        <v>0.2287905982064197</v>
      </c>
      <c r="I49" s="72">
        <f>IF(H10=0,"3",IF(H49&lt;0,3,IF(H49&lt;0.10000000000000001,2,IF(H49&gt;=0.10000000000000001,1,))))</f>
        <v>1</v>
      </c>
      <c r="J49" s="72">
        <f>IF(ISERROR(J11/J10),"",J11/J10)</f>
        <v>0.32155467759100781</v>
      </c>
      <c r="K49" s="72">
        <f>IF(J10=0,"3",IF(J49&lt;0,3,IF(J49&lt;0.10000000000000001,2,IF(J49&gt;=0.10000000000000001,1,))))</f>
        <v>1</v>
      </c>
      <c r="L49" s="72">
        <f>IF(ISERROR(L11/L10),"",L11/L10)</f>
        <v>0.32133326766541598</v>
      </c>
      <c r="M49" s="72">
        <f>IF(L10=0,"3",IF(L49&lt;0,3,IF(L49&lt;0.10000000000000001,2,IF(L49&gt;=0.10000000000000001,1,))))</f>
        <v>1</v>
      </c>
    </row>
    <row r="50" ht="12.75">
      <c r="B50" s="53"/>
      <c r="C50" s="48" t="s">
        <v>53</v>
      </c>
      <c r="D50" s="66"/>
      <c r="E50" s="66"/>
      <c r="F50" s="72">
        <f>IF(ISERROR(F12/F10),"",F12/F10)</f>
        <v>0.16454401734849303</v>
      </c>
      <c r="G50" s="72">
        <f>IF(F10=0,"3",IF(F50&lt;0,3,IF(F50&lt;0.059999999999999998,2,IF(F50&gt;=0.059999999999999998,1,))))</f>
        <v>1</v>
      </c>
      <c r="H50" s="72">
        <f>IF(ISERROR(H12/H10),"",H12/H10)</f>
        <v>0.13273452053069706</v>
      </c>
      <c r="I50" s="72">
        <f>IF(H10=0,"3",IF(H50&lt;0,3,IF(H50&lt;0.059999999999999998,2,IF(H50&gt;=0.059999999999999998,1,))))</f>
        <v>1</v>
      </c>
      <c r="J50" s="72">
        <f>IF(ISERROR(J12/J10),"",J12/J10)</f>
        <v>0.20320878223725453</v>
      </c>
      <c r="K50" s="72">
        <f>IF(J10=0,"3",IF(J50&lt;0,3,IF(J50&lt;0.059999999999999998,2,IF(J50&gt;=0.059999999999999998,1,))))</f>
        <v>1</v>
      </c>
      <c r="L50" s="72">
        <f>IF(ISERROR(L12/L10),"",L12/L10)</f>
        <v>0.20346831075252447</v>
      </c>
      <c r="M50" s="72">
        <f>IF(L10=0,"3",IF(L50&lt;0,3,IF(L50&lt;0.059999999999999998,2,IF(L50&gt;=0.059999999999999998,1,))))</f>
        <v>1</v>
      </c>
    </row>
    <row r="51" ht="117.75" customHeight="1">
      <c r="B51" s="10"/>
      <c r="C51" s="73" t="s">
        <v>54</v>
      </c>
      <c r="D51" s="75"/>
      <c r="E51" s="75"/>
      <c r="F51" s="76" t="str">
        <f>IF(ISERROR(G45*0.050000000000000003+G46*0.10000000000000001+G47*0.40000000000000002+G48*0.20000000000000001+G49*0.14999999999999999+G50*0.10000000000000001),"-",G45*0.050000000000000003+G46*0.10000000000000001+G47*0.40000000000000002+G48*0.20000000000000001+G49*0.14999999999999999+G50*0.10000000000000001)</f>
        <v>-</v>
      </c>
      <c r="G51" s="77">
        <f>IF(F52="Да",1,IF(F53="Да",2,3))</f>
        <v>3</v>
      </c>
      <c r="H51" s="76" t="str">
        <f>IF(ISERROR(I45*0.050000000000000003+I46*0.10000000000000001+I47*0.40000000000000002+I48*0.20000000000000001+I49*0.14999999999999999+I50*0.10000000000000001),"-",I45*0.050000000000000003+I46*0.10000000000000001+I47*0.40000000000000002+I48*0.20000000000000001+I49*0.14999999999999999+I50*0.10000000000000001)</f>
        <v>-</v>
      </c>
      <c r="I51" s="77">
        <f>IF(H52="Да",1,IF(H53="Да",2,3))</f>
        <v>3</v>
      </c>
      <c r="J51" s="76" t="str">
        <f>IF(ISERROR(K45*0.050000000000000003+K46*0.10000000000000001+K47*0.40000000000000002+K48*0.20000000000000001+K49*0.14999999999999999+K50*0.10000000000000001),"-",K45*0.050000000000000003+K46*0.10000000000000001+K47*0.40000000000000002+K48*0.20000000000000001+K49*0.14999999999999999+K50*0.10000000000000001)</f>
        <v>-</v>
      </c>
      <c r="K51" s="77">
        <f>IF(J52="Да",1,IF(J53="Да",2,3))</f>
        <v>3</v>
      </c>
      <c r="L51" s="76" t="str">
        <f>IF(ISERROR(M45*0.050000000000000003+M46*0.10000000000000001+M47*0.40000000000000002+M48*0.20000000000000001+M49*0.14999999999999999+M50*0.10000000000000001),"-",M45*0.050000000000000003+M46*0.10000000000000001+M47*0.40000000000000002+M48*0.20000000000000001+M49*0.14999999999999999+M50*0.10000000000000001)</f>
        <v>-</v>
      </c>
      <c r="M51" s="78">
        <f>IF(L52="Да",1,IF(L53="Да",2,3))</f>
        <v>3</v>
      </c>
      <c r="N51" s="20" t="s">
        <v>55</v>
      </c>
      <c r="O51" s="20"/>
      <c r="P51" s="18"/>
    </row>
    <row r="52" ht="12.75">
      <c r="B52" s="10"/>
      <c r="C52" s="48" t="s">
        <v>56</v>
      </c>
      <c r="D52" s="66"/>
      <c r="E52" s="66"/>
      <c r="F52" s="79" t="str">
        <f>IF(AND(F49&gt;=0.10000000000000001,F51&lt;=1.25),"Да","Нет")</f>
        <v>Нет</v>
      </c>
      <c r="G52" s="80"/>
      <c r="H52" s="79" t="str">
        <f>IF(AND(H49&gt;=0.10000000000000001,H51&lt;=1.25),"Да","Нет")</f>
        <v>Нет</v>
      </c>
      <c r="I52" s="80"/>
      <c r="J52" s="79" t="str">
        <f>IF(AND(J49&gt;=0.10000000000000001,J51&lt;=1.25),"Да","Нет")</f>
        <v>Нет</v>
      </c>
      <c r="K52" s="80"/>
      <c r="L52" s="79" t="str">
        <f>IF(AND(L49&gt;=0.10000000000000001,L51&lt;=1.25),"Да","Нет")</f>
        <v>Нет</v>
      </c>
      <c r="M52" s="80"/>
    </row>
    <row r="53" ht="12.75">
      <c r="B53" s="10"/>
      <c r="C53" s="48" t="s">
        <v>57</v>
      </c>
      <c r="D53" s="66"/>
      <c r="E53" s="66"/>
      <c r="F53" s="79" t="str">
        <f>IF(AND(F51&lt;=2.3500000000000001,F49&gt;=0,F52="Нет"),"Да","Нет")</f>
        <v>Нет</v>
      </c>
      <c r="G53" s="80"/>
      <c r="H53" s="79" t="str">
        <f>IF(AND(H51&lt;=2.3500000000000001,H49&gt;=0,H52="Нет"),"Да","Нет")</f>
        <v>Нет</v>
      </c>
      <c r="I53" s="80"/>
      <c r="J53" s="79" t="str">
        <f>IF(AND(J51&lt;=2.3500000000000001,J49&gt;=0,J52="Нет"),"Да","Нет")</f>
        <v>Нет</v>
      </c>
      <c r="K53" s="80"/>
      <c r="L53" s="79" t="str">
        <f>IF(AND(L51&lt;=2.3500000000000001,L49&gt;=0,L52="Нет"),"Да","Нет")</f>
        <v>Нет</v>
      </c>
      <c r="M53" s="80"/>
    </row>
    <row r="55" ht="12.75">
      <c r="F55" s="81"/>
      <c r="H55" s="81"/>
      <c r="J55" s="81"/>
      <c r="L55" s="81"/>
    </row>
  </sheetData>
  <mergeCells count="99">
    <mergeCell ref="D3:M3"/>
    <mergeCell ref="D4:M4"/>
    <mergeCell ref="D5:M5"/>
    <mergeCell ref="F9:G9"/>
    <mergeCell ref="H9:I9"/>
    <mergeCell ref="J9:K9"/>
    <mergeCell ref="L9:M9"/>
    <mergeCell ref="F10:G10"/>
    <mergeCell ref="H10:I10"/>
    <mergeCell ref="J10:K10"/>
    <mergeCell ref="L10:M10"/>
    <mergeCell ref="F11:G11"/>
    <mergeCell ref="H11:I11"/>
    <mergeCell ref="J11:K11"/>
    <mergeCell ref="L11:M11"/>
    <mergeCell ref="F12:G12"/>
    <mergeCell ref="H12:I12"/>
    <mergeCell ref="J12:K12"/>
    <mergeCell ref="L12:M12"/>
    <mergeCell ref="F16:G16"/>
    <mergeCell ref="H16:I16"/>
    <mergeCell ref="J16:K16"/>
    <mergeCell ref="L16:M16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3:G23"/>
    <mergeCell ref="H23:I23"/>
    <mergeCell ref="J23:K23"/>
    <mergeCell ref="L23:M23"/>
    <mergeCell ref="F25:G25"/>
    <mergeCell ref="H25:I25"/>
    <mergeCell ref="J25:K25"/>
    <mergeCell ref="L25:M25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4:G34"/>
    <mergeCell ref="H34:I34"/>
    <mergeCell ref="J34:K34"/>
    <mergeCell ref="L34:M34"/>
    <mergeCell ref="F35:G35"/>
    <mergeCell ref="H35:I35"/>
    <mergeCell ref="J35:K35"/>
    <mergeCell ref="L35:M35"/>
    <mergeCell ref="F36:G36"/>
    <mergeCell ref="H36:I36"/>
    <mergeCell ref="J36:K36"/>
    <mergeCell ref="L36:M36"/>
    <mergeCell ref="F37:G37"/>
    <mergeCell ref="H37:I37"/>
    <mergeCell ref="J37:K37"/>
    <mergeCell ref="L37:M37"/>
    <mergeCell ref="F38:G38"/>
    <mergeCell ref="H38:I38"/>
    <mergeCell ref="J38:K38"/>
    <mergeCell ref="L38:M38"/>
    <mergeCell ref="F39:G39"/>
    <mergeCell ref="H39:I39"/>
    <mergeCell ref="J39:K39"/>
    <mergeCell ref="L39:M39"/>
    <mergeCell ref="F43:G43"/>
    <mergeCell ref="H43:I43"/>
    <mergeCell ref="J43:K43"/>
    <mergeCell ref="L43:M43"/>
    <mergeCell ref="F52:G52"/>
    <mergeCell ref="H52:I52"/>
    <mergeCell ref="J52:K52"/>
    <mergeCell ref="L52:M52"/>
    <mergeCell ref="F53:G53"/>
    <mergeCell ref="H53:I53"/>
    <mergeCell ref="J53:K53"/>
    <mergeCell ref="L53:M53"/>
  </mergeCells>
  <printOptions headings="0" gridLines="0"/>
  <pageMargins left="0.75" right="0.75" top="1" bottom="1" header="0.5" footer="0.5"/>
  <pageSetup paperSize="9" scale="63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900AD-007E-4AE2-AC79-00D9005300A0}" type="list" allowBlank="1" errorStyle="stop" imeMode="noControl" operator="between" prompt="Выберите из предложенного или введите вручную" showDropDown="0" showErrorMessage="0" showInputMessage="1">
          <x14:formula1>
            <xm:f>$W$41:$W$44</xm:f>
          </x14:formula1>
          <xm:sqref>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Р7-Офис/2026.2.1.2288</Application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/>
  <cp:revision>8</cp:revision>
  <dcterms:created xsi:type="dcterms:W3CDTF">1996-10-08T23:32:00Z</dcterms:created>
  <dcterms:modified xsi:type="dcterms:W3CDTF">2026-09-04T10:34:21Z</dcterms:modified>
  <cp:version>1048576</cp:version>
</cp:coreProperties>
</file>